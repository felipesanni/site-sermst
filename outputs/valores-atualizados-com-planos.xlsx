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950ca3c70d46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ixas de preço" sheetId="2" r:id="R96ef79f8c98f4012"/>
    <x:sheet xmlns:r="http://schemas.openxmlformats.org/officeDocument/2006/relationships" name="Simulador" sheetId="3" r:id="R184d6121e18d4fd8"/>
    <x:sheet xmlns:r="http://schemas.openxmlformats.org/officeDocument/2006/relationships" name="O que inclui" sheetId="4" r:id="Rbf28947d480a459e"/>
  </x:sheets>
</x:workbook>
</file>

<file path=xl/sharedStrings.xml><?xml version="1.0" encoding="utf-8"?>
<x:sst xmlns:x="http://schemas.openxmlformats.org/spreadsheetml/2006/main">
  <x:si>
    <x:t xml:space="preserve">Faixas de preço — valores editáveis</x:t>
  </x:si>
  <x:si>
    <x:t xml:space="preserve">Plano</x:t>
  </x:si>
  <x:si>
    <x:t xml:space="preserve">Valor mínimo</x:t>
  </x:si>
  <x:si>
    <x:t xml:space="preserve">Funcionários — de</x:t>
  </x:si>
  <x:si>
    <x:t xml:space="preserve">Funcionários — até</x:t>
  </x:si>
  <x:si>
    <x:t xml:space="preserve">R$ por funcionário na faixa</x:t>
  </x:si>
  <x:si>
    <x:t xml:space="preserve">Plano Base</x:t>
  </x:si>
  <x:si>
    <x:t xml:space="preserve">Plano Essencial</x:t>
  </x:si>
  <x:si>
    <x:t xml:space="preserve">Plano Gestão Total</x:t>
  </x:si>
  <x:si>
    <x:t xml:space="preserve">Células amarelas = inputs. Para alterar os preços, edite principalmente as colunas B e E. A faixa final usa 10.000 como limite técnico para representar “301 ou mais”.</x:t>
  </x:si>
</x:sst>
</file>

<file path=xl/styles.xml><?xml version="1.0" encoding="utf-8"?>
<x:styleSheet xmlns:x="http://schemas.openxmlformats.org/spreadsheetml/2006/main">
  <x:numFmts count="4">
    <x:numFmt numFmtId="164" formatCode="\R\$\ #,##0.00"/>
    <x:numFmt numFmtId="200" formatCode="#,##0"/>
    <x:numFmt numFmtId="201" formatCode="0%"/>
    <x:numFmt numFmtId="202" formatCode="R$ #,##0.00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B133C"/>
      <x:name val="Carlito"/>
    </x:font>
    <x:font>
      <x:b/>
      <x:sz val="11"/>
      <x:color rgb="FFFFFFFF"/>
      <x:name val="Carlito"/>
    </x:font>
    <x:font>
      <x:b/>
      <x:sz val="11"/>
      <x:color rgb="FF0B133C"/>
      <x:name val="Carlito"/>
    </x:font>
    <x:font>
      <x:sz val="11"/>
      <x:color rgb="FF0B133C"/>
      <x:name val="Carlito"/>
    </x:font>
    <x:font>
      <x:b/>
      <x:sz val="11"/>
      <x:color rgb="FF16804B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0B133C"/>
      </x:patternFill>
    </x:fill>
    <x:fill>
      <x:patternFill patternType="solid">
        <x:fgColor rgb="FFE83E8C"/>
      </x:patternFill>
    </x:fill>
    <x:fill>
      <x:patternFill patternType="solid">
        <x:fgColor rgb="FFF4F6FA"/>
      </x:patternFill>
    </x:fill>
    <x:fill>
      <x:patternFill patternType="solid">
        <x:fgColor rgb="FFFFF4CC"/>
      </x:patternFill>
    </x:fill>
    <x:fill>
      <x:patternFill patternType="solid">
        <x:fgColor rgb="FF0B133C"/>
      </x:patternFill>
    </x:fill>
    <x:fill>
      <x:patternFill patternType="solid">
        <x:fgColor rgb="FFF4F6FA"/>
      </x:patternFill>
    </x:fill>
    <x:fill>
      <x:patternFill patternType="solid">
        <x:fgColor rgb="FFFFF4CC"/>
      </x:patternFill>
    </x:fill>
    <x:fill>
      <x:patternFill patternType="solid">
        <x:fgColor rgb="FFE83E8C"/>
      </x:patternFill>
    </x:fill>
    <x:fill>
      <x:patternFill patternType="solid">
        <x:fgColor rgb="FF0B133C"/>
      </x:patternFill>
    </x:fill>
    <x:fill>
      <x:patternFill patternType="solid">
        <x:fgColor rgb="FFE83E8C"/>
      </x:patternFill>
    </x:fill>
    <x:fill>
      <x:patternFill patternType="solid">
        <x:fgColor rgb="FFE7F6EF"/>
      </x:patternFill>
    </x:fill>
    <x:fill>
      <x:patternFill patternType="solid">
        <x:fgColor rgb="FFF4F6FA"/>
      </x:patternFill>
    </x:fill>
  </x:fills>
  <x:borders count="2">
    <x:border/>
    <x:border>
      <x:left style="thin">
        <x:color rgb="FFD9E0EA"/>
      </x:left>
      <x:right style="thin">
        <x:color rgb="FFD9E0EA"/>
      </x:right>
      <x:top style="thin">
        <x:color rgb="FFD9E0EA"/>
      </x:top>
      <x:bottom style="thin">
        <x:color rgb="FFD9E0EA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3" fillId="3" borderId="1" xfId="0" applyFont="1" applyFill="1" applyBorder="1" applyAlignment="1">
      <x:alignment horizontal="center" vertical="center" wrapText="1"/>
    </x:xf>
    <x:xf numFmtId="0" fontId="4" fillId="0" borderId="1" xfId="0" applyFont="1" applyBorder="1"/>
    <x:xf numFmtId="164" fontId="0" fillId="5" borderId="1" xfId="0" applyNumberFormat="1" applyFill="1" applyBorder="1"/>
    <x:xf numFmtId="3" fontId="0" fillId="5" borderId="1" xfId="0" applyNumberFormat="1" applyFill="1" applyBorder="1"/>
    <x:xf numFmtId="0" fontId="1" fillId="2" borderId="0" xfId="0" applyFont="1" applyFill="1" applyAlignment="1">
      <x:alignment horizontal="center" vertical="center"/>
    </x:xf>
    <x:xf numFmtId="0" fontId="2" fillId="4" borderId="0" xfId="0" applyFont="1" applyFill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200" fontId="4" fillId="8" borderId="0" xfId="0" applyNumberFormat="1" applyFont="1" applyFill="1" applyBorder="1"/>
    <x:xf numFmtId="201" fontId="4" fillId="8" borderId="0" xfId="0" applyNumberFormat="1" applyFont="1" applyFill="1" applyBorder="1"/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horizontal="center" wrapText="1"/>
    </x:xf>
    <x:xf numFmtId="0" fontId="4" fillId="0" borderId="0" xfId="0" applyNumberFormat="1" applyFont="1" applyFill="1" applyBorder="1"/>
    <x:xf numFmtId="202" fontId="0" fillId="0" borderId="0" xfId="0" applyNumberFormat="1" applyFont="1" applyFill="1" applyBorder="1"/>
    <x:xf numFmtId="0" fontId="3" fillId="9" borderId="1" xfId="0" applyNumberFormat="1" applyFont="1" applyFill="1" applyBorder="1" applyAlignment="1">
      <x:alignment horizontal="center" wrapText="1"/>
    </x:xf>
    <x:xf numFmtId="0" fontId="4" fillId="0" borderId="1" xfId="0" applyNumberFormat="1" applyFont="1" applyFill="1" applyBorder="1"/>
    <x:xf numFmtId="202" fontId="0" fillId="0" borderId="1" xfId="0" applyNumberFormat="1" applyFont="1" applyFill="1" applyBorder="1"/>
    <x:xf numFmtId="0" fontId="0" fillId="0" borderId="1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wrapText="1"/>
    </x:xf>
    <x:xf numFmtId="0" fontId="0" fillId="8" borderId="1" xfId="0" applyNumberFormat="1" applyFont="1" applyFill="1" applyBorder="1"/>
    <x:xf numFmtId="202" fontId="0" fillId="8" borderId="1" xfId="0" applyNumberFormat="1" applyFont="1" applyFill="1" applyBorder="1"/>
    <x:xf numFmtId="0" fontId="4" fillId="8" borderId="1" xfId="0" applyNumberFormat="1" applyFont="1" applyFill="1" applyBorder="1"/>
    <x:xf numFmtId="202" fontId="4" fillId="8" borderId="1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horizontal="center"/>
    </x:xf>
    <x:xf numFmtId="0" fontId="1" fillId="10" borderId="0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wrapText="1"/>
    </x:xf>
    <x:xf numFmtId="0" fontId="3" fillId="11" borderId="0" xfId="0" applyNumberFormat="1" applyFont="1" applyFill="1" applyBorder="1" applyAlignment="1">
      <x:alignment horizont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3" fillId="11" borderId="1" xfId="0" applyNumberFormat="1" applyFont="1" applyFill="1" applyBorder="1" applyAlignment="1">
      <x:alignment horizontal="center" wrapText="1"/>
    </x:xf>
    <x:xf numFmtId="0" fontId="5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horizontal="center" vertical="center"/>
    </x:xf>
    <x:xf numFmtId="0" fontId="5" fillId="12" borderId="1" xfId="0" applyNumberFormat="1" applyFont="1" applyFill="1" applyBorder="1" applyAlignment="1">
      <x:alignment wrapText="1"/>
    </x:xf>
    <x:xf numFmtId="0" fontId="6" fillId="12" borderId="1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/>
    <x:xf numFmtId="0" fontId="2" fillId="13" borderId="0" xfId="0" applyNumberFormat="1" applyFont="1" applyFill="1" applyBorder="1"/>
    <x:xf numFmtId="0" fontId="2" fillId="13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4A3B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bfb53b51844346" /><Relationship Type="http://schemas.openxmlformats.org/officeDocument/2006/relationships/theme" Target="/xl/theme/theme1.xml" Id="R9c6251fbcd1446cb" /><Relationship Type="http://schemas.openxmlformats.org/officeDocument/2006/relationships/sharedStrings" Target="/xl/sharedStrings.xml" Id="R04fae63643af4a93" /><Relationship Type="http://schemas.openxmlformats.org/officeDocument/2006/relationships/worksheet" Target="/xl/worksheets/sheet1.xml" Id="R96ef79f8c98f4012" /><Relationship Type="http://schemas.openxmlformats.org/officeDocument/2006/relationships/worksheet" Target="/xl/worksheets/sheet2.xml" Id="R184d6121e18d4fd8" /><Relationship Type="http://schemas.openxmlformats.org/officeDocument/2006/relationships/worksheet" Target="/xl/worksheets/sheet3.xml" Id="Rbf28947d480a459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2" customWidth="1"/>
    <x:col min="2" max="2" width="16" customWidth="1"/>
    <x:col min="3" max="4" width="20" customWidth="1"/>
    <x:col min="5" max="5" width="28" customWidth="1"/>
  </x:cols>
  <x:sheetData>
    <x:row r="1" ht="30" customHeight="1">
      <x:c r="A1" s="5" t="s">
        <x:v>0</x:v>
      </x:c>
      <x:c r="B1" s="5"/>
      <x:c r="C1" s="5"/>
      <x:c r="D1" s="5"/>
      <x:c r="E1" s="5"/>
    </x:row>
    <x:row r="3" ht="34.04999923706055" customHeight="1">
      <x:c r="A3" s="1" t="s">
        <x:v>1</x:v>
      </x:c>
      <x:c r="B3" s="1" t="s">
        <x:v>2</x:v>
      </x:c>
      <x:c r="C3" s="1" t="s">
        <x:v>3</x:v>
      </x:c>
      <x:c r="D3" s="1" t="s">
        <x:v>4</x:v>
      </x:c>
      <x:c r="E3" s="1" t="s">
        <x:v>5</x:v>
      </x:c>
    </x:row>
    <x:row r="4">
      <x:c r="A4" s="2" t="s">
        <x:v>6</x:v>
      </x:c>
      <x:c r="B4" s="3">
        <x:v>149</x:v>
      </x:c>
      <x:c r="C4" s="4">
        <x:v>2</x:v>
      </x:c>
      <x:c r="D4" s="4">
        <x:v>10</x:v>
      </x:c>
      <x:c r="E4" s="3">
        <x:v>16</x:v>
      </x:c>
    </x:row>
    <x:row r="5">
      <x:c r="A5" s="2" t="s">
        <x:v>6</x:v>
      </x:c>
      <x:c r="B5" s="3">
        <x:v>149</x:v>
      </x:c>
      <x:c r="C5" s="4">
        <x:v>11</x:v>
      </x:c>
      <x:c r="D5" s="4">
        <x:v>20</x:v>
      </x:c>
      <x:c r="E5" s="3">
        <x:v>14</x:v>
      </x:c>
    </x:row>
    <x:row r="6">
      <x:c r="A6" s="2" t="s">
        <x:v>6</x:v>
      </x:c>
      <x:c r="B6" s="3">
        <x:v>149</x:v>
      </x:c>
      <x:c r="C6" s="4">
        <x:v>21</x:v>
      </x:c>
      <x:c r="D6" s="4">
        <x:v>50</x:v>
      </x:c>
      <x:c r="E6" s="3">
        <x:v>12</x:v>
      </x:c>
    </x:row>
    <x:row r="7">
      <x:c r="A7" s="2" t="s">
        <x:v>6</x:v>
      </x:c>
      <x:c r="B7" s="3">
        <x:v>149</x:v>
      </x:c>
      <x:c r="C7" s="4">
        <x:v>51</x:v>
      </x:c>
      <x:c r="D7" s="4">
        <x:v>70</x:v>
      </x:c>
      <x:c r="E7" s="3">
        <x:v>11.5</x:v>
      </x:c>
    </x:row>
    <x:row r="8">
      <x:c r="A8" s="2" t="s">
        <x:v>6</x:v>
      </x:c>
      <x:c r="B8" s="3">
        <x:v>149</x:v>
      </x:c>
      <x:c r="C8" s="4">
        <x:v>71</x:v>
      </x:c>
      <x:c r="D8" s="4">
        <x:v>80</x:v>
      </x:c>
      <x:c r="E8" s="3">
        <x:v>11</x:v>
      </x:c>
    </x:row>
    <x:row r="9">
      <x:c r="A9" s="2" t="s">
        <x:v>6</x:v>
      </x:c>
      <x:c r="B9" s="3">
        <x:v>149</x:v>
      </x:c>
      <x:c r="C9" s="4">
        <x:v>81</x:v>
      </x:c>
      <x:c r="D9" s="4">
        <x:v>99</x:v>
      </x:c>
      <x:c r="E9" s="3">
        <x:v>10.5</x:v>
      </x:c>
    </x:row>
    <x:row r="10">
      <x:c r="A10" s="2" t="s">
        <x:v>7</x:v>
      </x:c>
      <x:c r="B10" s="3">
        <x:v>229</x:v>
      </x:c>
      <x:c r="C10" s="4">
        <x:v>2</x:v>
      </x:c>
      <x:c r="D10" s="4">
        <x:v>10</x:v>
      </x:c>
      <x:c r="E10" s="3">
        <x:v>19</x:v>
      </x:c>
    </x:row>
    <x:row r="11">
      <x:c r="A11" s="2" t="s">
        <x:v>7</x:v>
      </x:c>
      <x:c r="B11" s="3">
        <x:v>229</x:v>
      </x:c>
      <x:c r="C11" s="4">
        <x:v>11</x:v>
      </x:c>
      <x:c r="D11" s="4">
        <x:v>20</x:v>
      </x:c>
      <x:c r="E11" s="3">
        <x:v>17</x:v>
      </x:c>
    </x:row>
    <x:row r="12">
      <x:c r="A12" s="2" t="s">
        <x:v>7</x:v>
      </x:c>
      <x:c r="B12" s="3">
        <x:v>229</x:v>
      </x:c>
      <x:c r="C12" s="4">
        <x:v>21</x:v>
      </x:c>
      <x:c r="D12" s="4">
        <x:v>50</x:v>
      </x:c>
      <x:c r="E12" s="3">
        <x:v>15</x:v>
      </x:c>
    </x:row>
    <x:row r="13">
      <x:c r="A13" s="2" t="s">
        <x:v>7</x:v>
      </x:c>
      <x:c r="B13" s="3">
        <x:v>229</x:v>
      </x:c>
      <x:c r="C13" s="4">
        <x:v>51</x:v>
      </x:c>
      <x:c r="D13" s="4">
        <x:v>70</x:v>
      </x:c>
      <x:c r="E13" s="3">
        <x:v>14.5</x:v>
      </x:c>
    </x:row>
    <x:row r="14">
      <x:c r="A14" s="2" t="s">
        <x:v>7</x:v>
      </x:c>
      <x:c r="B14" s="3">
        <x:v>229</x:v>
      </x:c>
      <x:c r="C14" s="4">
        <x:v>71</x:v>
      </x:c>
      <x:c r="D14" s="4">
        <x:v>80</x:v>
      </x:c>
      <x:c r="E14" s="3">
        <x:v>14</x:v>
      </x:c>
    </x:row>
    <x:row r="15">
      <x:c r="A15" s="2" t="s">
        <x:v>7</x:v>
      </x:c>
      <x:c r="B15" s="3">
        <x:v>229</x:v>
      </x:c>
      <x:c r="C15" s="4">
        <x:v>81</x:v>
      </x:c>
      <x:c r="D15" s="4">
        <x:v>99</x:v>
      </x:c>
      <x:c r="E15" s="3">
        <x:v>13.5</x:v>
      </x:c>
    </x:row>
    <x:row r="16">
      <x:c r="A16" s="2" t="s">
        <x:v>8</x:v>
      </x:c>
      <x:c r="B16" s="3">
        <x:v>319</x:v>
      </x:c>
      <x:c r="C16" s="4">
        <x:v>2</x:v>
      </x:c>
      <x:c r="D16" s="4">
        <x:v>10</x:v>
      </x:c>
      <x:c r="E16" s="3">
        <x:v>23</x:v>
      </x:c>
    </x:row>
    <x:row r="17">
      <x:c r="A17" s="2" t="s">
        <x:v>8</x:v>
      </x:c>
      <x:c r="B17" s="3">
        <x:v>319</x:v>
      </x:c>
      <x:c r="C17" s="4">
        <x:v>11</x:v>
      </x:c>
      <x:c r="D17" s="4">
        <x:v>20</x:v>
      </x:c>
      <x:c r="E17" s="3">
        <x:v>21</x:v>
      </x:c>
    </x:row>
    <x:row r="18">
      <x:c r="A18" s="2" t="s">
        <x:v>8</x:v>
      </x:c>
      <x:c r="B18" s="3">
        <x:v>319</x:v>
      </x:c>
      <x:c r="C18" s="4">
        <x:v>21</x:v>
      </x:c>
      <x:c r="D18" s="4">
        <x:v>50</x:v>
      </x:c>
      <x:c r="E18" s="3">
        <x:v>19</x:v>
      </x:c>
    </x:row>
    <x:row r="19">
      <x:c r="A19" s="2" t="s">
        <x:v>8</x:v>
      </x:c>
      <x:c r="B19" s="3">
        <x:v>319</x:v>
      </x:c>
      <x:c r="C19" s="4">
        <x:v>51</x:v>
      </x:c>
      <x:c r="D19" s="4">
        <x:v>70</x:v>
      </x:c>
      <x:c r="E19" s="3">
        <x:v>18.5</x:v>
      </x:c>
    </x:row>
    <x:row r="20">
      <x:c r="A20" s="2" t="s">
        <x:v>8</x:v>
      </x:c>
      <x:c r="B20" s="3">
        <x:v>319</x:v>
      </x:c>
      <x:c r="C20" s="4">
        <x:v>71</x:v>
      </x:c>
      <x:c r="D20" s="4">
        <x:v>80</x:v>
      </x:c>
      <x:c r="E20" s="3">
        <x:v>18</x:v>
      </x:c>
    </x:row>
    <x:row r="21">
      <x:c r="A21" s="2" t="s">
        <x:v>8</x:v>
      </x:c>
      <x:c r="B21" s="3">
        <x:v>319</x:v>
      </x:c>
      <x:c r="C21" s="4">
        <x:v>81</x:v>
      </x:c>
      <x:c r="D21" s="4">
        <x:v>99</x:v>
      </x:c>
      <x:c r="E21" s="3">
        <x:v>17.5</x:v>
      </x:c>
    </x:row>
    <x:row r="23" ht="14.399999618530273">
      <x:c r="A23" s="6" t="s">
        <x:v>9</x:v>
      </x:c>
      <x:c r="B23" s="6"/>
      <x:c r="C23" s="6"/>
      <x:c r="D23" s="6"/>
      <x:c r="E23" s="6"/>
    </x:row>
  </x:sheetData>
  <x:mergeCells>
    <x:mergeCell ref="A1:E1"/>
    <x:mergeCell ref="A23:E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  <x:col min="5" max="5" width="32" hidden="0" customWidth="1"/>
  </x:cols>
  <x:sheetData>
    <x:row r="1">
      <x:c r="A1" s="10" t="str">
        <x:v>Simulador de valores dos planos</x:v>
      </x:c>
      <x:c r="B1" s="10"/>
      <x:c r="C1" s="10"/>
      <x:c r="D1" s="10"/>
      <x:c r="E1" s="10"/>
    </x:row>
    <x:row r="3">
      <x:c r="A3" s="12" t="str">
        <x:v>Funcionários</x:v>
      </x:c>
      <x:c r="B3" s="15" t="n">
        <x:v>10</x:v>
      </x:c>
    </x:row>
    <x:row r="4">
      <x:c r="A4" s="12" t="str">
        <x:v>Desconto anual à vista</x:v>
      </x:c>
      <x:c r="B4" s="16" t="n">
        <x:v>0.05</x:v>
      </x:c>
    </x:row>
    <x:row r="6">
      <x:c r="A6" s="23" t="str">
        <x:v>Plano</x:v>
      </x:c>
      <x:c r="B6" s="23" t="str">
        <x:v>Valor mensal</x:v>
      </x:c>
      <x:c r="C6" s="23" t="str">
        <x:v>Anual à vista</x:v>
      </x:c>
      <x:c r="D6" s="23" t="str">
        <x:v>Média por funcionário</x:v>
      </x:c>
      <x:c r="E6" s="23" t="str">
        <x:v>Fórmula resumida</x:v>
      </x:c>
    </x:row>
    <x:row r="7">
      <x:c r="A7" s="24" t="str">
        <x:v>Plano Base</x:v>
      </x:c>
      <x:c r="B7" s="25" t="n">
        <x:f>'Faixas de preço'!$B$4+MAX(0,MIN($B$3,'Faixas de preço'!$D$4)-'Faixas de preço'!$C$4+1)*'Faixas de preço'!$E$4+MAX(0,MIN($B$3,'Faixas de preço'!$D$5)-'Faixas de preço'!$C$5+1)*'Faixas de preço'!$E$5+MAX(0,MIN($B$3,'Faixas de preço'!$D$6)-'Faixas de preço'!$C$6+1)*'Faixas de preço'!$E$6+MAX(0,MIN($B$3,'Faixas de preço'!$D$7)-'Faixas de preço'!$C$7+1)*'Faixas de preço'!$E$7+MAX(0,MIN($B$3,'Faixas de preço'!$D$8)-'Faixas de preço'!$C$8+1)*'Faixas de preço'!$E$8+MAX(0,MIN($B$3,'Faixas de preço'!$D$9)-'Faixas de preço'!$C$9+1)*'Faixas de preço'!$E$9</x:f>
        <x:v>293</x:v>
      </x:c>
      <x:c r="C7" s="25" t="n">
        <x:f>ROUND(B7*12*(1-$B$4),0)</x:f>
        <x:v>3340</x:v>
      </x:c>
      <x:c r="D7" s="25" t="n">
        <x:f>ROUND(B7/$B$3,0)</x:f>
        <x:v>29</x:v>
      </x:c>
      <x:c r="E7" s="26" t="str">
        <x:v>Mínimo + faixas progressivas</x:v>
      </x:c>
    </x:row>
    <x:row r="8">
      <x:c r="A8" s="24" t="str">
        <x:v>Plano Essencial</x:v>
      </x:c>
      <x:c r="B8" s="25" t="n">
        <x:f>'Faixas de preço'!$B$10+MAX(0,MIN($B$3,'Faixas de preço'!$D$10)-'Faixas de preço'!$C$10+1)*'Faixas de preço'!$E$10+MAX(0,MIN($B$3,'Faixas de preço'!$D$11)-'Faixas de preço'!$C$11+1)*'Faixas de preço'!$E$11+MAX(0,MIN($B$3,'Faixas de preço'!$D$12)-'Faixas de preço'!$C$12+1)*'Faixas de preço'!$E$12+MAX(0,MIN($B$3,'Faixas de preço'!$D$13)-'Faixas de preço'!$C$13+1)*'Faixas de preço'!$E$13+MAX(0,MIN($B$3,'Faixas de preço'!$D$14)-'Faixas de preço'!$C$14+1)*'Faixas de preço'!$E$14+MAX(0,MIN($B$3,'Faixas de preço'!$D$15)-'Faixas de preço'!$C$15+1)*'Faixas de preço'!$E$15</x:f>
        <x:v>400</x:v>
      </x:c>
      <x:c r="C8" s="25" t="n">
        <x:f>ROUND(B8*12*(1-$B$4),0)</x:f>
        <x:v>4560</x:v>
      </x:c>
      <x:c r="D8" s="25" t="n">
        <x:f>ROUND(B8/$B$3,0)</x:f>
        <x:v>40</x:v>
      </x:c>
      <x:c r="E8" s="26" t="str">
        <x:v>Mínimo + faixas progressivas</x:v>
      </x:c>
    </x:row>
    <x:row r="9">
      <x:c r="A9" s="24" t="str">
        <x:v>Plano Gestão Total</x:v>
      </x:c>
      <x:c r="B9" s="25" t="n">
        <x:f>'Faixas de preço'!$B$16+MAX(0,MIN($B$3,'Faixas de preço'!$D$16)-'Faixas de preço'!$C$16+1)*'Faixas de preço'!$E$16+MAX(0,MIN($B$3,'Faixas de preço'!$D$17)-'Faixas de preço'!$C$17+1)*'Faixas de preço'!$E$17+MAX(0,MIN($B$3,'Faixas de preço'!$D$18)-'Faixas de preço'!$C$18+1)*'Faixas de preço'!$E$18+MAX(0,MIN($B$3,'Faixas de preço'!$D$19)-'Faixas de preço'!$C$19+1)*'Faixas de preço'!$E$19+MAX(0,MIN($B$3,'Faixas de preço'!$D$20)-'Faixas de preço'!$C$20+1)*'Faixas de preço'!$E$20+MAX(0,MIN($B$3,'Faixas de preço'!$D$21)-'Faixas de preço'!$C$21+1)*'Faixas de preço'!$E$21</x:f>
        <x:v>526</x:v>
      </x:c>
      <x:c r="C9" s="25" t="n">
        <x:f>ROUND(B9*12*(1-$B$4),0)</x:f>
        <x:v>5996</x:v>
      </x:c>
      <x:c r="D9" s="25" t="n">
        <x:f>ROUND(B9/$B$3,0)</x:f>
        <x:v>53</x:v>
      </x:c>
      <x:c r="E9" s="26" t="str">
        <x:v>Mínimo + faixas progressivas</x:v>
      </x:c>
    </x:row>
    <x:row r="11">
      <x:c r="A11" s="12" t="str">
        <x:v>Exemplos automáticos — valores derivados das novas faixas</x:v>
      </x:c>
      <x:c r="B11" s="12"/>
      <x:c r="C11" s="12"/>
      <x:c r="D11" s="12"/>
      <x:c r="E11" s="12"/>
    </x:row>
    <x:row r="12">
      <x:c r="A12" s="30" t="str">
        <x:v>Funcionários</x:v>
      </x:c>
      <x:c r="B12" s="30" t="str">
        <x:v>Base mensal</x:v>
      </x:c>
      <x:c r="C12" s="30" t="str">
        <x:v>Essencial mensal</x:v>
      </x:c>
      <x:c r="D12" s="30" t="str">
        <x:v>Gestão Total mensal</x:v>
      </x:c>
      <x:c r="E12" s="30" t="str">
        <x:v>Observação</x:v>
      </x:c>
    </x:row>
    <x:row r="13">
      <x:c r="A13" s="26" t="n">
        <x:v>1</x:v>
      </x:c>
      <x:c r="B13" s="25" t="n">
        <x:f>'Faixas de preço'!$B$4+MAX(0,MIN($A13,'Faixas de preço'!$D$4)-'Faixas de preço'!$C$4+1)*'Faixas de preço'!$E$4+MAX(0,MIN($A13,'Faixas de preço'!$D$5)-'Faixas de preço'!$C$5+1)*'Faixas de preço'!$E$5+MAX(0,MIN($A13,'Faixas de preço'!$D$6)-'Faixas de preço'!$C$6+1)*'Faixas de preço'!$E$6+MAX(0,MIN($A13,'Faixas de preço'!$D$7)-'Faixas de preço'!$C$7+1)*'Faixas de preço'!$E$7+MAX(0,MIN($A13,'Faixas de preço'!$D$8)-'Faixas de preço'!$C$8+1)*'Faixas de preço'!$E$8+MAX(0,MIN($A13,'Faixas de preço'!$D$9)-'Faixas de preço'!$C$9+1)*'Faixas de preço'!$E$9</x:f>
        <x:v>149</x:v>
      </x:c>
      <x:c r="C13" s="25" t="n">
        <x:f>'Faixas de preço'!$B$10+MAX(0,MIN($A13,'Faixas de preço'!$D$10)-'Faixas de preço'!$C$10+1)*'Faixas de preço'!$E$10+MAX(0,MIN($A13,'Faixas de preço'!$D$11)-'Faixas de preço'!$C$11+1)*'Faixas de preço'!$E$11+MAX(0,MIN($A13,'Faixas de preço'!$D$12)-'Faixas de preço'!$C$12+1)*'Faixas de preço'!$E$12+MAX(0,MIN($A13,'Faixas de preço'!$D$13)-'Faixas de preço'!$C$13+1)*'Faixas de preço'!$E$13+MAX(0,MIN($A13,'Faixas de preço'!$D$14)-'Faixas de preço'!$C$14+1)*'Faixas de preço'!$E$14+MAX(0,MIN($A13,'Faixas de preço'!$D$15)-'Faixas de preço'!$C$15+1)*'Faixas de preço'!$E$15</x:f>
        <x:v>229</x:v>
      </x:c>
      <x:c r="D13" s="25" t="n">
        <x:f>'Faixas de preço'!$B$16+MAX(0,MIN($A13,'Faixas de preço'!$D$16)-'Faixas de preço'!$C$16+1)*'Faixas de preço'!$E$16+MAX(0,MIN($A13,'Faixas de preço'!$D$17)-'Faixas de preço'!$C$17+1)*'Faixas de preço'!$E$17+MAX(0,MIN($A13,'Faixas de preço'!$D$18)-'Faixas de preço'!$C$18+1)*'Faixas de preço'!$E$18+MAX(0,MIN($A13,'Faixas de preço'!$D$19)-'Faixas de preço'!$C$19+1)*'Faixas de preço'!$E$19+MAX(0,MIN($A13,'Faixas de preço'!$D$20)-'Faixas de preço'!$C$20+1)*'Faixas de preço'!$E$20+MAX(0,MIN($A13,'Faixas de preço'!$D$21)-'Faixas de preço'!$C$21+1)*'Faixas de preço'!$E$21</x:f>
        <x:v>319</x:v>
      </x:c>
      <x:c r="E13" s="26" t="str">
        <x:v>Simulação</x:v>
      </x:c>
    </x:row>
    <x:row r="14">
      <x:c r="A14" s="26" t="n">
        <x:v>10</x:v>
      </x:c>
      <x:c r="B14" s="25" t="n">
        <x:f>'Faixas de preço'!$B$4+MAX(0,MIN($A14,'Faixas de preço'!$D$4)-'Faixas de preço'!$C$4+1)*'Faixas de preço'!$E$4+MAX(0,MIN($A14,'Faixas de preço'!$D$5)-'Faixas de preço'!$C$5+1)*'Faixas de preço'!$E$5+MAX(0,MIN($A14,'Faixas de preço'!$D$6)-'Faixas de preço'!$C$6+1)*'Faixas de preço'!$E$6+MAX(0,MIN($A14,'Faixas de preço'!$D$7)-'Faixas de preço'!$C$7+1)*'Faixas de preço'!$E$7+MAX(0,MIN($A14,'Faixas de preço'!$D$8)-'Faixas de preço'!$C$8+1)*'Faixas de preço'!$E$8+MAX(0,MIN($A14,'Faixas de preço'!$D$9)-'Faixas de preço'!$C$9+1)*'Faixas de preço'!$E$9</x:f>
        <x:v>293</x:v>
      </x:c>
      <x:c r="C14" s="25" t="n">
        <x:f>'Faixas de preço'!$B$10+MAX(0,MIN($A14,'Faixas de preço'!$D$10)-'Faixas de preço'!$C$10+1)*'Faixas de preço'!$E$10+MAX(0,MIN($A14,'Faixas de preço'!$D$11)-'Faixas de preço'!$C$11+1)*'Faixas de preço'!$E$11+MAX(0,MIN($A14,'Faixas de preço'!$D$12)-'Faixas de preço'!$C$12+1)*'Faixas de preço'!$E$12+MAX(0,MIN($A14,'Faixas de preço'!$D$13)-'Faixas de preço'!$C$13+1)*'Faixas de preço'!$E$13+MAX(0,MIN($A14,'Faixas de preço'!$D$14)-'Faixas de preço'!$C$14+1)*'Faixas de preço'!$E$14+MAX(0,MIN($A14,'Faixas de preço'!$D$15)-'Faixas de preço'!$C$15+1)*'Faixas de preço'!$E$15</x:f>
        <x:v>400</x:v>
      </x:c>
      <x:c r="D14" s="25" t="n">
        <x:f>'Faixas de preço'!$B$16+MAX(0,MIN($A14,'Faixas de preço'!$D$16)-'Faixas de preço'!$C$16+1)*'Faixas de preço'!$E$16+MAX(0,MIN($A14,'Faixas de preço'!$D$17)-'Faixas de preço'!$C$17+1)*'Faixas de preço'!$E$17+MAX(0,MIN($A14,'Faixas de preço'!$D$18)-'Faixas de preço'!$C$18+1)*'Faixas de preço'!$E$18+MAX(0,MIN($A14,'Faixas de preço'!$D$19)-'Faixas de preço'!$C$19+1)*'Faixas de preço'!$E$19+MAX(0,MIN($A14,'Faixas de preço'!$D$20)-'Faixas de preço'!$C$20+1)*'Faixas de preço'!$E$20+MAX(0,MIN($A14,'Faixas de preço'!$D$21)-'Faixas de preço'!$C$21+1)*'Faixas de preço'!$E$21</x:f>
        <x:v>526</x:v>
      </x:c>
      <x:c r="E14" s="26" t="str">
        <x:v>Simulação</x:v>
      </x:c>
    </x:row>
    <x:row r="15">
      <x:c r="A15" s="26" t="n">
        <x:v>20</x:v>
      </x:c>
      <x:c r="B15" s="25" t="n">
        <x:f>'Faixas de preço'!$B$4+MAX(0,MIN($A15,'Faixas de preço'!$D$4)-'Faixas de preço'!$C$4+1)*'Faixas de preço'!$E$4+MAX(0,MIN($A15,'Faixas de preço'!$D$5)-'Faixas de preço'!$C$5+1)*'Faixas de preço'!$E$5+MAX(0,MIN($A15,'Faixas de preço'!$D$6)-'Faixas de preço'!$C$6+1)*'Faixas de preço'!$E$6+MAX(0,MIN($A15,'Faixas de preço'!$D$7)-'Faixas de preço'!$C$7+1)*'Faixas de preço'!$E$7+MAX(0,MIN($A15,'Faixas de preço'!$D$8)-'Faixas de preço'!$C$8+1)*'Faixas de preço'!$E$8+MAX(0,MIN($A15,'Faixas de preço'!$D$9)-'Faixas de preço'!$C$9+1)*'Faixas de preço'!$E$9</x:f>
        <x:v>433</x:v>
      </x:c>
      <x:c r="C15" s="25" t="n">
        <x:f>'Faixas de preço'!$B$10+MAX(0,MIN($A15,'Faixas de preço'!$D$10)-'Faixas de preço'!$C$10+1)*'Faixas de preço'!$E$10+MAX(0,MIN($A15,'Faixas de preço'!$D$11)-'Faixas de preço'!$C$11+1)*'Faixas de preço'!$E$11+MAX(0,MIN($A15,'Faixas de preço'!$D$12)-'Faixas de preço'!$C$12+1)*'Faixas de preço'!$E$12+MAX(0,MIN($A15,'Faixas de preço'!$D$13)-'Faixas de preço'!$C$13+1)*'Faixas de preço'!$E$13+MAX(0,MIN($A15,'Faixas de preço'!$D$14)-'Faixas de preço'!$C$14+1)*'Faixas de preço'!$E$14+MAX(0,MIN($A15,'Faixas de preço'!$D$15)-'Faixas de preço'!$C$15+1)*'Faixas de preço'!$E$15</x:f>
        <x:v>570</x:v>
      </x:c>
      <x:c r="D15" s="25" t="n">
        <x:f>'Faixas de preço'!$B$16+MAX(0,MIN($A15,'Faixas de preço'!$D$16)-'Faixas de preço'!$C$16+1)*'Faixas de preço'!$E$16+MAX(0,MIN($A15,'Faixas de preço'!$D$17)-'Faixas de preço'!$C$17+1)*'Faixas de preço'!$E$17+MAX(0,MIN($A15,'Faixas de preço'!$D$18)-'Faixas de preço'!$C$18+1)*'Faixas de preço'!$E$18+MAX(0,MIN($A15,'Faixas de preço'!$D$19)-'Faixas de preço'!$C$19+1)*'Faixas de preço'!$E$19+MAX(0,MIN($A15,'Faixas de preço'!$D$20)-'Faixas de preço'!$C$20+1)*'Faixas de preço'!$E$20+MAX(0,MIN($A15,'Faixas de preço'!$D$21)-'Faixas de preço'!$C$21+1)*'Faixas de preço'!$E$21</x:f>
        <x:v>736</x:v>
      </x:c>
      <x:c r="E15" s="26" t="str">
        <x:v>Simulação</x:v>
      </x:c>
    </x:row>
    <x:row r="16">
      <x:c r="A16" s="26" t="n">
        <x:v>50</x:v>
      </x:c>
      <x:c r="B16" s="25" t="n">
        <x:f>'Faixas de preço'!$B$4+MAX(0,MIN($A16,'Faixas de preço'!$D$4)-'Faixas de preço'!$C$4+1)*'Faixas de preço'!$E$4+MAX(0,MIN($A16,'Faixas de preço'!$D$5)-'Faixas de preço'!$C$5+1)*'Faixas de preço'!$E$5+MAX(0,MIN($A16,'Faixas de preço'!$D$6)-'Faixas de preço'!$C$6+1)*'Faixas de preço'!$E$6+MAX(0,MIN($A16,'Faixas de preço'!$D$7)-'Faixas de preço'!$C$7+1)*'Faixas de preço'!$E$7+MAX(0,MIN($A16,'Faixas de preço'!$D$8)-'Faixas de preço'!$C$8+1)*'Faixas de preço'!$E$8+MAX(0,MIN($A16,'Faixas de preço'!$D$9)-'Faixas de preço'!$C$9+1)*'Faixas de preço'!$E$9</x:f>
        <x:v>793</x:v>
      </x:c>
      <x:c r="C16" s="25" t="n">
        <x:f>'Faixas de preço'!$B$10+MAX(0,MIN($A16,'Faixas de preço'!$D$10)-'Faixas de preço'!$C$10+1)*'Faixas de preço'!$E$10+MAX(0,MIN($A16,'Faixas de preço'!$D$11)-'Faixas de preço'!$C$11+1)*'Faixas de preço'!$E$11+MAX(0,MIN($A16,'Faixas de preço'!$D$12)-'Faixas de preço'!$C$12+1)*'Faixas de preço'!$E$12+MAX(0,MIN($A16,'Faixas de preço'!$D$13)-'Faixas de preço'!$C$13+1)*'Faixas de preço'!$E$13+MAX(0,MIN($A16,'Faixas de preço'!$D$14)-'Faixas de preço'!$C$14+1)*'Faixas de preço'!$E$14+MAX(0,MIN($A16,'Faixas de preço'!$D$15)-'Faixas de preço'!$C$15+1)*'Faixas de preço'!$E$15</x:f>
        <x:v>1020</x:v>
      </x:c>
      <x:c r="D16" s="25" t="n">
        <x:f>'Faixas de preço'!$B$16+MAX(0,MIN($A16,'Faixas de preço'!$D$16)-'Faixas de preço'!$C$16+1)*'Faixas de preço'!$E$16+MAX(0,MIN($A16,'Faixas de preço'!$D$17)-'Faixas de preço'!$C$17+1)*'Faixas de preço'!$E$17+MAX(0,MIN($A16,'Faixas de preço'!$D$18)-'Faixas de preço'!$C$18+1)*'Faixas de preço'!$E$18+MAX(0,MIN($A16,'Faixas de preço'!$D$19)-'Faixas de preço'!$C$19+1)*'Faixas de preço'!$E$19+MAX(0,MIN($A16,'Faixas de preço'!$D$20)-'Faixas de preço'!$C$20+1)*'Faixas de preço'!$E$20+MAX(0,MIN($A16,'Faixas de preço'!$D$21)-'Faixas de preço'!$C$21+1)*'Faixas de preço'!$E$21</x:f>
        <x:v>1306</x:v>
      </x:c>
      <x:c r="E16" s="26" t="str">
        <x:v>Simulação</x:v>
      </x:c>
    </x:row>
    <x:row r="17">
      <x:c r="A17" s="26" t="n">
        <x:v>70</x:v>
      </x:c>
      <x:c r="B17" s="25" t="n">
        <x:f>'Faixas de preço'!$B$4+MAX(0,MIN($A17,'Faixas de preço'!$D$4)-'Faixas de preço'!$C$4+1)*'Faixas de preço'!$E$4+MAX(0,MIN($A17,'Faixas de preço'!$D$5)-'Faixas de preço'!$C$5+1)*'Faixas de preço'!$E$5+MAX(0,MIN($A17,'Faixas de preço'!$D$6)-'Faixas de preço'!$C$6+1)*'Faixas de preço'!$E$6+MAX(0,MIN($A17,'Faixas de preço'!$D$7)-'Faixas de preço'!$C$7+1)*'Faixas de preço'!$E$7+MAX(0,MIN($A17,'Faixas de preço'!$D$8)-'Faixas de preço'!$C$8+1)*'Faixas de preço'!$E$8+MAX(0,MIN($A17,'Faixas de preço'!$D$9)-'Faixas de preço'!$C$9+1)*'Faixas de preço'!$E$9</x:f>
        <x:v>1023</x:v>
      </x:c>
      <x:c r="C17" s="25" t="n">
        <x:f>'Faixas de preço'!$B$10+MAX(0,MIN($A17,'Faixas de preço'!$D$10)-'Faixas de preço'!$C$10+1)*'Faixas de preço'!$E$10+MAX(0,MIN($A17,'Faixas de preço'!$D$11)-'Faixas de preço'!$C$11+1)*'Faixas de preço'!$E$11+MAX(0,MIN($A17,'Faixas de preço'!$D$12)-'Faixas de preço'!$C$12+1)*'Faixas de preço'!$E$12+MAX(0,MIN($A17,'Faixas de preço'!$D$13)-'Faixas de preço'!$C$13+1)*'Faixas de preço'!$E$13+MAX(0,MIN($A17,'Faixas de preço'!$D$14)-'Faixas de preço'!$C$14+1)*'Faixas de preço'!$E$14+MAX(0,MIN($A17,'Faixas de preço'!$D$15)-'Faixas de preço'!$C$15+1)*'Faixas de preço'!$E$15</x:f>
        <x:v>1310</x:v>
      </x:c>
      <x:c r="D17" s="25" t="n">
        <x:f>'Faixas de preço'!$B$16+MAX(0,MIN($A17,'Faixas de preço'!$D$16)-'Faixas de preço'!$C$16+1)*'Faixas de preço'!$E$16+MAX(0,MIN($A17,'Faixas de preço'!$D$17)-'Faixas de preço'!$C$17+1)*'Faixas de preço'!$E$17+MAX(0,MIN($A17,'Faixas de preço'!$D$18)-'Faixas de preço'!$C$18+1)*'Faixas de preço'!$E$18+MAX(0,MIN($A17,'Faixas de preço'!$D$19)-'Faixas de preço'!$C$19+1)*'Faixas de preço'!$E$19+MAX(0,MIN($A17,'Faixas de preço'!$D$20)-'Faixas de preço'!$C$20+1)*'Faixas de preço'!$E$20+MAX(0,MIN($A17,'Faixas de preço'!$D$21)-'Faixas de preço'!$C$21+1)*'Faixas de preço'!$E$21</x:f>
        <x:v>1676</x:v>
      </x:c>
      <x:c r="E17" s="26" t="str">
        <x:v>Simulação</x:v>
      </x:c>
    </x:row>
    <x:row r="18">
      <x:c r="A18" s="26" t="n">
        <x:v>80</x:v>
      </x:c>
      <x:c r="B18" s="25" t="n">
        <x:f>'Faixas de preço'!$B$4+MAX(0,MIN($A18,'Faixas de preço'!$D$4)-'Faixas de preço'!$C$4+1)*'Faixas de preço'!$E$4+MAX(0,MIN($A18,'Faixas de preço'!$D$5)-'Faixas de preço'!$C$5+1)*'Faixas de preço'!$E$5+MAX(0,MIN($A18,'Faixas de preço'!$D$6)-'Faixas de preço'!$C$6+1)*'Faixas de preço'!$E$6+MAX(0,MIN($A18,'Faixas de preço'!$D$7)-'Faixas de preço'!$C$7+1)*'Faixas de preço'!$E$7+MAX(0,MIN($A18,'Faixas de preço'!$D$8)-'Faixas de preço'!$C$8+1)*'Faixas de preço'!$E$8+MAX(0,MIN($A18,'Faixas de preço'!$D$9)-'Faixas de preço'!$C$9+1)*'Faixas de preço'!$E$9</x:f>
        <x:v>1133</x:v>
      </x:c>
      <x:c r="C18" s="25" t="n">
        <x:f>'Faixas de preço'!$B$10+MAX(0,MIN($A18,'Faixas de preço'!$D$10)-'Faixas de preço'!$C$10+1)*'Faixas de preço'!$E$10+MAX(0,MIN($A18,'Faixas de preço'!$D$11)-'Faixas de preço'!$C$11+1)*'Faixas de preço'!$E$11+MAX(0,MIN($A18,'Faixas de preço'!$D$12)-'Faixas de preço'!$C$12+1)*'Faixas de preço'!$E$12+MAX(0,MIN($A18,'Faixas de preço'!$D$13)-'Faixas de preço'!$C$13+1)*'Faixas de preço'!$E$13+MAX(0,MIN($A18,'Faixas de preço'!$D$14)-'Faixas de preço'!$C$14+1)*'Faixas de preço'!$E$14+MAX(0,MIN($A18,'Faixas de preço'!$D$15)-'Faixas de preço'!$C$15+1)*'Faixas de preço'!$E$15</x:f>
        <x:v>1450</x:v>
      </x:c>
      <x:c r="D18" s="25" t="n">
        <x:f>'Faixas de preço'!$B$16+MAX(0,MIN($A18,'Faixas de preço'!$D$16)-'Faixas de preço'!$C$16+1)*'Faixas de preço'!$E$16+MAX(0,MIN($A18,'Faixas de preço'!$D$17)-'Faixas de preço'!$C$17+1)*'Faixas de preço'!$E$17+MAX(0,MIN($A18,'Faixas de preço'!$D$18)-'Faixas de preço'!$C$18+1)*'Faixas de preço'!$E$18+MAX(0,MIN($A18,'Faixas de preço'!$D$19)-'Faixas de preço'!$C$19+1)*'Faixas de preço'!$E$19+MAX(0,MIN($A18,'Faixas de preço'!$D$20)-'Faixas de preço'!$C$20+1)*'Faixas de preço'!$E$20+MAX(0,MIN($A18,'Faixas de preço'!$D$21)-'Faixas de preço'!$C$21+1)*'Faixas de preço'!$E$21</x:f>
        <x:v>1856</x:v>
      </x:c>
      <x:c r="E18" s="26" t="str">
        <x:v>Simulação</x:v>
      </x:c>
    </x:row>
    <x:row r="19">
      <x:c r="A19" s="33" t="n">
        <x:v>99</x:v>
      </x:c>
      <x:c r="B19" s="34" t="n">
        <x:f>'Faixas de preço'!$B$4+MAX(0,MIN($A19,'Faixas de preço'!$D$4)-'Faixas de preço'!$C$4+1)*'Faixas de preço'!$E$4+MAX(0,MIN($A19,'Faixas de preço'!$D$5)-'Faixas de preço'!$C$5+1)*'Faixas de preço'!$E$5+MAX(0,MIN($A19,'Faixas de preço'!$D$6)-'Faixas de preço'!$C$6+1)*'Faixas de preço'!$E$6+MAX(0,MIN($A19,'Faixas de preço'!$D$7)-'Faixas de preço'!$C$7+1)*'Faixas de preço'!$E$7+MAX(0,MIN($A19,'Faixas de preço'!$D$8)-'Faixas de preço'!$C$8+1)*'Faixas de preço'!$E$8+MAX(0,MIN($A19,'Faixas de preço'!$D$9)-'Faixas de preço'!$C$9+1)*'Faixas de preço'!$E$9</x:f>
        <x:v>1332.5</x:v>
      </x:c>
      <x:c r="C19" s="34" t="n">
        <x:f>'Faixas de preço'!$B$10+MAX(0,MIN($A19,'Faixas de preço'!$D$10)-'Faixas de preço'!$C$10+1)*'Faixas de preço'!$E$10+MAX(0,MIN($A19,'Faixas de preço'!$D$11)-'Faixas de preço'!$C$11+1)*'Faixas de preço'!$E$11+MAX(0,MIN($A19,'Faixas de preço'!$D$12)-'Faixas de preço'!$C$12+1)*'Faixas de preço'!$E$12+MAX(0,MIN($A19,'Faixas de preço'!$D$13)-'Faixas de preço'!$C$13+1)*'Faixas de preço'!$E$13+MAX(0,MIN($A19,'Faixas de preço'!$D$14)-'Faixas de preço'!$C$14+1)*'Faixas de preço'!$E$14+MAX(0,MIN($A19,'Faixas de preço'!$D$15)-'Faixas de preço'!$C$15+1)*'Faixas de preço'!$E$15</x:f>
        <x:v>1706.5</x:v>
      </x:c>
      <x:c r="D19" s="34" t="n">
        <x:f>'Faixas de preço'!$B$16+MAX(0,MIN($A19,'Faixas de preço'!$D$16)-'Faixas de preço'!$C$16+1)*'Faixas de preço'!$E$16+MAX(0,MIN($A19,'Faixas de preço'!$D$17)-'Faixas de preço'!$C$17+1)*'Faixas de preço'!$E$17+MAX(0,MIN($A19,'Faixas de preço'!$D$18)-'Faixas de preço'!$C$18+1)*'Faixas de preço'!$E$18+MAX(0,MIN($A19,'Faixas de preço'!$D$19)-'Faixas de preço'!$C$19+1)*'Faixas de preço'!$E$19+MAX(0,MIN($A19,'Faixas de preço'!$D$20)-'Faixas de preço'!$C$20+1)*'Faixas de preço'!$E$20+MAX(0,MIN($A19,'Faixas de preço'!$D$21)-'Faixas de preço'!$C$21+1)*'Faixas de preço'!$E$21</x:f>
        <x:v>2188.5</x:v>
      </x:c>
      <x:c r="E19" s="33" t="str">
        <x:v>Limite da simulação</x:v>
      </x:c>
    </x:row>
    <x:row r="21">
      <x:c r="A21" s="36" t="str">
        <x:v>Os valores desta aba são calculados diretamente pelas faixas da aba “Faixas de preço”. Edite as células amarelas na aba de faixas para recalcular o simulador.</x:v>
      </x:c>
      <x:c r="B21" s="36"/>
      <x:c r="C21" s="36"/>
      <x:c r="D21" s="36"/>
      <x:c r="E21" s="36"/>
    </x:row>
  </x:sheetData>
  <x:mergeCells>
    <x:mergeCell ref="A1:E1"/>
    <x:mergeCell ref="A11:E11"/>
    <x:mergeCell ref="A21:E2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8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30" customHeight="1">
      <x:c r="A1" s="40" t="str">
        <x:v>O que cada plano possui</x:v>
      </x:c>
      <x:c r="B1" s="40"/>
      <x:c r="C1" s="40"/>
      <x:c r="D1" s="40"/>
    </x:row>
    <x:row r="3" ht="32" customHeight="1">
      <x:c r="A3" s="50" t="str">
        <x:v>Item incluído</x:v>
      </x:c>
      <x:c r="B3" s="50" t="str">
        <x:v>Plano Base</x:v>
      </x:c>
      <x:c r="C3" s="50" t="str">
        <x:v>Plano Essencial</x:v>
      </x:c>
      <x:c r="D3" s="50" t="str">
        <x:v>Plano Gestão Total</x:v>
      </x:c>
    </x:row>
    <x:row r="4" ht="24" customHeight="1">
      <x:c r="A4" s="53" t="str">
        <x:v>PGR — Programa de Gerenciamento de Riscos</x:v>
      </x:c>
      <x:c r="B4" s="54" t="str">
        <x:v>Incluído</x:v>
      </x:c>
      <x:c r="C4" s="54" t="str">
        <x:v>Incluído</x:v>
      </x:c>
      <x:c r="D4" s="54" t="str">
        <x:v>Incluído</x:v>
      </x:c>
    </x:row>
    <x:row r="5" ht="24" customHeight="1">
      <x:c r="A5" s="53" t="str">
        <x:v>PCMSO — Programa de Controle Médico de Saúde Ocupacional</x:v>
      </x:c>
      <x:c r="B5" s="54" t="str">
        <x:v>Incluído</x:v>
      </x:c>
      <x:c r="C5" s="54" t="str">
        <x:v>Incluído</x:v>
      </x:c>
      <x:c r="D5" s="54" t="str">
        <x:v>Incluído</x:v>
      </x:c>
    </x:row>
    <x:row r="6" ht="24" customHeight="1">
      <x:c r="A6" s="53" t="str">
        <x:v>LTCAT — Laudo Técnico das Condições Ambientais de Trabalho</x:v>
      </x:c>
      <x:c r="B6" s="54" t="str">
        <x:v>Incluído</x:v>
      </x:c>
      <x:c r="C6" s="54" t="str">
        <x:v>Incluído</x:v>
      </x:c>
      <x:c r="D6" s="54" t="str">
        <x:v>Incluído</x:v>
      </x:c>
    </x:row>
    <x:row r="7" ht="24" customHeight="1">
      <x:c r="A7" s="53" t="str">
        <x:v>Exames clínicos ocupacionais na sede da SERMST (exceto complementares)</x:v>
      </x:c>
      <x:c r="B7" s="54" t="str">
        <x:v>Incluído</x:v>
      </x:c>
      <x:c r="C7" s="54" t="str">
        <x:v>Incluído</x:v>
      </x:c>
      <x:c r="D7" s="54" t="str">
        <x:v>Incluído</x:v>
      </x:c>
    </x:row>
    <x:row r="8" ht="24" customHeight="1">
      <x:c r="A8" s="53" t="str">
        <x:v>Portal do Cliente — software de gestão</x:v>
      </x:c>
      <x:c r="B8" s="54" t="str">
        <x:v>Incluído</x:v>
      </x:c>
      <x:c r="C8" s="54" t="str">
        <x:v>Incluído</x:v>
      </x:c>
      <x:c r="D8" s="54" t="str">
        <x:v>Incluído</x:v>
      </x:c>
    </x:row>
    <x:row r="9" ht="24" customHeight="1">
      <x:c r="A9" s="53" t="str">
        <x:v>Gestão de vencimentos de exames periódicos</x:v>
      </x:c>
      <x:c r="B9" s="54" t="str">
        <x:v>Incluído</x:v>
      </x:c>
      <x:c r="C9" s="54" t="str">
        <x:v>Incluído</x:v>
      </x:c>
      <x:c r="D9" s="54" t="str">
        <x:v>Incluído</x:v>
      </x:c>
    </x:row>
    <x:row r="10" ht="24" customHeight="1">
      <x:c r="A10" s="53" t="str">
        <x:v>Mensageria do eSocial: S-2210, S-2220, S-2221 e S-2240</x:v>
      </x:c>
      <x:c r="B10" s="54" t="str">
        <x:v>Incluído</x:v>
      </x:c>
      <x:c r="C10" s="54" t="str">
        <x:v>Incluído</x:v>
      </x:c>
      <x:c r="D10" s="54" t="str">
        <x:v>Incluído</x:v>
      </x:c>
    </x:row>
    <x:row r="11" ht="24" customHeight="1">
      <x:c r="A11" s="51" t="str">
        <x:v>PPP — Perfil Profissiográfico Previdenciário</x:v>
      </x:c>
      <x:c r="B11" s="52" t="str">
        <x:v>—</x:v>
      </x:c>
      <x:c r="C11" s="52" t="str">
        <x:v>Incluído</x:v>
      </x:c>
      <x:c r="D11" s="52" t="str">
        <x:v>Incluído</x:v>
      </x:c>
    </x:row>
    <x:row r="12" ht="24" customHeight="1">
      <x:c r="A12" s="51" t="str">
        <x:v>CAT — Comunicação de Acidente de Trabalho</x:v>
      </x:c>
      <x:c r="B12" s="52" t="str">
        <x:v>—</x:v>
      </x:c>
      <x:c r="C12" s="52" t="str">
        <x:v>Incluído</x:v>
      </x:c>
      <x:c r="D12" s="52" t="str">
        <x:v>Incluído</x:v>
      </x:c>
    </x:row>
    <x:row r="13" ht="24" customHeight="1">
      <x:c r="A13" s="51" t="str">
        <x:v>Curso de CIPA para representante da empresa</x:v>
      </x:c>
      <x:c r="B13" s="52" t="str">
        <x:v>—</x:v>
      </x:c>
      <x:c r="C13" s="52" t="str">
        <x:v>Incluído</x:v>
      </x:c>
      <x:c r="D13" s="52" t="str">
        <x:v>Incluído</x:v>
      </x:c>
    </x:row>
    <x:row r="14" ht="24" customHeight="1">
      <x:c r="A14" s="51" t="str">
        <x:v>Consultoria em SST</x:v>
      </x:c>
      <x:c r="B14" s="52" t="str">
        <x:v>—</x:v>
      </x:c>
      <x:c r="C14" s="52" t="str">
        <x:v>Incluído</x:v>
      </x:c>
      <x:c r="D14" s="52" t="str">
        <x:v>Incluído</x:v>
      </x:c>
    </x:row>
    <x:row r="15" ht="24" customHeight="1">
      <x:c r="A15" s="51" t="str">
        <x:v>Apoio para auditorias e fiscalizações</x:v>
      </x:c>
      <x:c r="B15" s="52" t="str">
        <x:v>—</x:v>
      </x:c>
      <x:c r="C15" s="52" t="str">
        <x:v>Incluído</x:v>
      </x:c>
      <x:c r="D15" s="52" t="str">
        <x:v>Incluído</x:v>
      </x:c>
    </x:row>
    <x:row r="16" ht="24" customHeight="1">
      <x:c r="A16" s="51" t="str">
        <x:v>Avaliação de fatores psicossociais</x:v>
      </x:c>
      <x:c r="B16" s="52" t="str">
        <x:v>—</x:v>
      </x:c>
      <x:c r="C16" s="52" t="str">
        <x:v>Incluído</x:v>
      </x:c>
      <x:c r="D16" s="52" t="str">
        <x:v>Incluído</x:v>
      </x:c>
    </x:row>
    <x:row r="17" ht="24" customHeight="1">
      <x:c r="A17" s="51" t="str">
        <x:v>5 consultas com clínico geral ao longo do ano</x:v>
      </x:c>
      <x:c r="B17" s="52" t="str">
        <x:v>—</x:v>
      </x:c>
      <x:c r="C17" s="52" t="str">
        <x:v>—</x:v>
      </x:c>
      <x:c r="D17" s="52" t="str">
        <x:v>Incluído</x:v>
      </x:c>
    </x:row>
    <x:row r="18" ht="24" customHeight="1">
      <x:c r="A18" s="51" t="str">
        <x:v>1 palestra online ao vivo com psicóloga para a equipe</x:v>
      </x:c>
      <x:c r="B18" s="52" t="str">
        <x:v>—</x:v>
      </x:c>
      <x:c r="C18" s="52" t="str">
        <x:v>—</x:v>
      </x:c>
      <x:c r="D18" s="52" t="str">
        <x:v>Incluído</x:v>
      </x:c>
    </x:row>
    <x:row r="19" ht="24" customHeight="1">
      <x:c r="A19" s="51" t="str">
        <x:v>1 treinamento online sobre gestão estratégica</x:v>
      </x:c>
      <x:c r="B19" s="52" t="str">
        <x:v>—</x:v>
      </x:c>
      <x:c r="C19" s="52" t="str">
        <x:v>—</x:v>
      </x:c>
      <x:c r="D19" s="52" t="str">
        <x:v>Incluído</x:v>
      </x:c>
    </x:row>
    <x:row r="20" ht="24" customHeight="1">
      <x:c r="A20" s="51" t="str">
        <x:v>1 treinamento online sobre gestão de pessoas</x:v>
      </x:c>
      <x:c r="B20" s="52" t="str">
        <x:v>—</x:v>
      </x:c>
      <x:c r="C20" s="52" t="str">
        <x:v>—</x:v>
      </x:c>
      <x:c r="D20" s="52" t="str">
        <x:v>Incluído</x:v>
      </x:c>
    </x:row>
    <x:row r="21" ht="24" customHeight="1">
      <x:c r="A21" s="51" t="str">
        <x:v>1 treinamento online sobre empreendedorismo</x:v>
      </x:c>
      <x:c r="B21" s="52" t="str">
        <x:v>—</x:v>
      </x:c>
      <x:c r="C21" s="52" t="str">
        <x:v>—</x:v>
      </x:c>
      <x:c r="D21" s="52" t="str">
        <x:v>Incluído</x:v>
      </x:c>
    </x:row>
    <x:row r="23">
      <x:c r="A23" s="57" t="str">
        <x:v>Os planos são cumulativos: o Essencial inclui tudo do Base; o Gestão Total inclui tudo do Essencial.</x:v>
      </x:c>
      <x:c r="B23" s="57"/>
      <x:c r="C23" s="57"/>
      <x:c r="D23" s="57"/>
    </x:row>
  </x:sheetData>
  <x:mergeCells>
    <x:mergeCell ref="A1:D1"/>
    <x:mergeCell ref="A23:D23"/>
  </x:mergeCells>
  <x:conditionalFormatting sqref="B4:D21">
    <x:cfRule type="containsText" dxfId="0" priority="1" operator="containsText" text="—"/>
  </x:conditionalFormatting>
  <x:pageMargins left="0.7" right="0.7" top="0.75" bottom="0.75" header="0.3" footer="0.3"/>
</x:worksheet>
</file>